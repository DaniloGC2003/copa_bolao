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lpites" sheetId="1" state="visible" r:id="rId3"/>
    <sheet name="Regras de pontuaca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<sst xmlns="http://schemas.openxmlformats.org/spreadsheetml/2006/main" count="235" uniqueCount="79">
  <si>
    <t xml:space="preserve">FASE DE GRUPOS</t>
  </si>
  <si>
    <t xml:space="preserve">NOME DO PARTICIPANTE</t>
  </si>
  <si>
    <t xml:space="preserve">GABARITO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</si>
  <si>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</si>
  <si>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</si>
  <si>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</si>
  <si>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</si>
  <si>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</si>
  <si>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</si>
  <si>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</si>
  <si>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A</t>
  </si>
  <si>
    <t xml:space="preserve">Czechia</t>
  </si>
  <si>
    <t xml:space="preserve">South Africa</t>
  </si>
  <si>
    <t xml:space="preserve">Mexico</t>
  </si>
  <si>
    <t xml:space="preserve">South Korea</t>
  </si>
  <si>
    <t xml:space="preserve">B</t>
  </si>
  <si>
    <t xml:space="preserve">Canada</t>
  </si>
  <si>
    <t xml:space="preserve">Bosnia and Herzegovina</t>
  </si>
  <si>
    <t xml:space="preserve">Qatar</t>
  </si>
  <si>
    <t xml:space="preserve">Switzerland</t>
  </si>
  <si>
    <t xml:space="preserve">C</t>
  </si>
  <si>
    <t xml:space="preserve">Brazil</t>
  </si>
  <si>
    <t xml:space="preserve">Morocco</t>
  </si>
  <si>
    <t xml:space="preserve">Haiti</t>
  </si>
  <si>
    <t xml:space="preserve">Scotland</t>
  </si>
  <si>
    <t xml:space="preserve">D</t>
  </si>
  <si>
    <t xml:space="preserve">USA</t>
  </si>
  <si>
    <t xml:space="preserve">Paraguay</t>
  </si>
  <si>
    <t xml:space="preserve">Australia</t>
  </si>
  <si>
    <t xml:space="preserve">Turkey</t>
  </si>
  <si>
    <t xml:space="preserve">E</t>
  </si>
  <si>
    <t xml:space="preserve">Germany</t>
  </si>
  <si>
    <t xml:space="preserve">Curacao</t>
  </si>
  <si>
    <t xml:space="preserve">Ivory Coast</t>
  </si>
  <si>
    <t xml:space="preserve">Ecuador</t>
  </si>
  <si>
    <t xml:space="preserve">F</t>
  </si>
  <si>
    <t xml:space="preserve">Netherlands</t>
  </si>
  <si>
    <t xml:space="preserve">Japan</t>
  </si>
  <si>
    <t xml:space="preserve">Sweden</t>
  </si>
  <si>
    <t xml:space="preserve">Tunisia</t>
  </si>
  <si>
    <t xml:space="preserve">G</t>
  </si>
  <si>
    <t xml:space="preserve">Belgium</t>
  </si>
  <si>
    <t xml:space="preserve">Egypt</t>
  </si>
  <si>
    <t xml:space="preserve">Iran</t>
  </si>
  <si>
    <t xml:space="preserve">New Zealand</t>
  </si>
  <si>
    <t xml:space="preserve">H</t>
  </si>
  <si>
    <t xml:space="preserve">Spain</t>
  </si>
  <si>
    <t xml:space="preserve">Cape Verde</t>
  </si>
  <si>
    <t xml:space="preserve">Saudi Arabia</t>
  </si>
  <si>
    <t xml:space="preserve">Uruguay</t>
  </si>
  <si>
    <t xml:space="preserve">I</t>
  </si>
  <si>
    <t xml:space="preserve">France</t>
  </si>
  <si>
    <t xml:space="preserve">Senegal</t>
  </si>
  <si>
    <t xml:space="preserve">Iraq</t>
  </si>
  <si>
    <t xml:space="preserve">Norway</t>
  </si>
  <si>
    <t xml:space="preserve">J</t>
  </si>
  <si>
    <t xml:space="preserve">Austria</t>
  </si>
  <si>
    <t xml:space="preserve">Jordan</t>
  </si>
  <si>
    <t xml:space="preserve">Argentina</t>
  </si>
  <si>
    <t xml:space="preserve">Algeria</t>
  </si>
  <si>
    <t xml:space="preserve">K</t>
  </si>
  <si>
    <t xml:space="preserve">Portugal</t>
  </si>
  <si>
    <t xml:space="preserve">DR Congo</t>
  </si>
  <si>
    <t xml:space="preserve">Uzbekistan</t>
  </si>
  <si>
    <t xml:space="preserve">Colombia</t>
  </si>
  <si>
    <t xml:space="preserve">L</t>
  </si>
  <si>
    <t xml:space="preserve">England</t>
  </si>
  <si>
    <t xml:space="preserve">Croatia</t>
  </si>
  <si>
    <t xml:space="preserve">Ghana</t>
  </si>
  <si>
    <t xml:space="preserve">Panama</t>
  </si>
  <si>
    <t xml:space="preserve">Regras de pontuação</t>
  </si>
  <si>
    <t xml:space="preserve">Pontos</t>
  </si>
  <si>
    <t xml:space="preserve">Acertou placar exato</t>
  </si>
  <si>
    <t xml:space="preserve">Acertou vencedor, mas não acertou placar exato</t>
  </si>
  <si>
    <t xml:space="preserve">Acertou que jogo terminaria em empate, mas não acertou placar exato</t>
  </si>
  <si>
    <t xml:space="preserve">Multiplicadores</t>
  </si>
  <si>
    <t xml:space="preserve">Os jogos das quartas de final valem o dobro dos pontos</t>
  </si>
  <si>
    <t xml:space="preserve">Os jogos das semifinais valem o triplo de pontos</t>
  </si>
  <si>
    <t xml:space="preserve">A final e a disputa pelo terceiro lugar valem o quádruplo de pontos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</si>
</sst>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FFFFD7"/>
        <bgColor rgb="FFFFF5CE"/>
      </patternFill>
    </fill>
    <fill>
      <patternFill patternType="solid">
        <fgColor rgb="FF999999"/>
        <bgColor rgb="FF808080"/>
      </patternFill>
    </fill>
    <fill>
      <patternFill patternType="solid">
        <fgColor rgb="FFDEE7E5"/>
        <bgColor rgb="FFDEDCE6"/>
      </patternFill>
    </fill>
    <fill>
      <patternFill patternType="solid">
        <fgColor rgb="FFFFF5CE"/>
        <bgColor rgb="FFFFFFD7"/>
      </patternFill>
    </fill>
    <fill>
      <patternFill patternType="solid">
        <fgColor rgb="FFDDE8CB"/>
        <bgColor rgb="FFDEE7E5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EE7E5"/>
      </patternFill>
    </fill>
    <fill>
      <patternFill patternType="solid">
        <fgColor rgb="FFFFD7D7"/>
        <bgColor rgb="FFF7D1D5"/>
      </patternFill>
    </fill>
    <fill>
      <patternFill patternType="solid">
        <fgColor rgb="FFE0C2CD"/>
        <bgColor rgb="FFF7D1D5"/>
      </patternFill>
    </fill>
    <fill>
      <patternFill patternType="solid">
        <fgColor rgb="FFF7D1D5"/>
        <bgColor rgb="FFFFD7D7"/>
      </patternFill>
    </fill>
    <fill>
      <patternFill patternType="solid">
        <fgColor rgb="FFFFFFA6"/>
        <bgColor rgb="FFFFF5CE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E8F2A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9" fillId="5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B0F0"/>
      <rgbColor rgb="FFF2F2F2"/>
      <rgbColor rgb="FFDDE8CB"/>
      <rgbColor rgb="FFFFFFA6"/>
      <rgbColor rgb="FFE8F2A1"/>
      <rgbColor rgb="FFF7D1D5"/>
      <rgbColor rgb="FFFFD7D7"/>
      <rgbColor rgb="FFFFDBB6"/>
      <rgbColor rgb="FF3366FF"/>
      <rgbColor rgb="FF33CCCC"/>
      <rgbColor rgb="FF99CC00"/>
      <rgbColor rgb="FFFFF5CE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2" min="2" style="0" width="17.42"/>
    <col collapsed="false" customWidth="true" hidden="false" outlineLevel="0" max="3" min="3" style="0" width="22.42"/>
    <col collapsed="false" customWidth="true" hidden="false" outlineLevel="0" max="4" min="4" style="0" width="36.29"/>
    <col collapsed="false" customWidth="true" hidden="false" outlineLevel="0" max="5" min="5" style="0" width="31.57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2.71"/>
    <col collapsed="false" customWidth="true" hidden="false" outlineLevel="0" max="10" min="10" style="0" width="36.29"/>
    <col collapsed="false" customWidth="true" hidden="false" outlineLevel="0" max="11" min="11" style="0" width="54.14"/>
  </cols>
  <sheetData>
    <row r="1" customFormat="false" ht="85.8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5"/>
      <c r="AE1" s="5"/>
      <c r="AF1" s="5"/>
      <c r="AG1" s="5"/>
      <c r="AH1" s="5"/>
      <c r="AI1" s="5"/>
      <c r="AJ1" s="5"/>
      <c r="AK1" s="5"/>
      <c r="AL1" s="5"/>
      <c r="AM1" s="7"/>
    </row>
    <row r="2" customFormat="false" ht="41.25" hidden="false" customHeight="true" outlineLevel="0" collapsed="false">
      <c r="A2" s="1"/>
      <c r="B2" s="8" t="s">
        <v>1</v>
      </c>
      <c r="C2" s="9" t="s">
        <v>2</v>
      </c>
      <c r="D2" s="4"/>
      <c r="E2" s="4"/>
      <c r="F2" s="4"/>
      <c r="G2" s="4"/>
      <c r="H2" s="4"/>
      <c r="I2" s="4"/>
      <c r="J2" s="4"/>
      <c r="K2" s="4"/>
      <c r="L2" s="3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customFormat="false" ht="25.5" hidden="false" customHeight="true" outlineLevel="0" collapsed="false">
      <c r="A3" s="1"/>
      <c r="B3" s="2"/>
      <c r="C3" s="4"/>
      <c r="D3" s="4"/>
      <c r="E3" s="4"/>
      <c r="F3" s="4"/>
      <c r="G3" s="4"/>
      <c r="H3" s="4"/>
      <c r="I3" s="4"/>
      <c r="J3" s="4"/>
      <c r="K3" s="4"/>
      <c r="L3" s="3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  <c r="AD3" s="5"/>
      <c r="AE3" s="5"/>
      <c r="AF3" s="5"/>
      <c r="AG3" s="5"/>
      <c r="AH3" s="5"/>
      <c r="AI3" s="5"/>
      <c r="AJ3" s="5"/>
      <c r="AK3" s="5"/>
      <c r="AL3" s="5"/>
      <c r="AM3" s="7"/>
    </row>
    <row r="4" customFormat="false" ht="26.85" hidden="false" customHeight="false" outlineLevel="0" collapsed="false">
      <c r="A4" s="10"/>
      <c r="B4" s="11" t="s">
        <v>3</v>
      </c>
      <c r="C4" s="12" t="s">
        <v>4</v>
      </c>
      <c r="D4" s="12" t="s">
        <v>5</v>
      </c>
      <c r="E4" s="12" t="s">
        <v>6</v>
      </c>
      <c r="F4" s="13" t="s">
        <v>7</v>
      </c>
      <c r="G4" s="13" t="s">
        <v>8</v>
      </c>
      <c r="H4" s="12" t="s">
        <v>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customFormat="false" ht="24.45" hidden="false" customHeight="false" outlineLevel="0" collapsed="false">
      <c r="A5" s="10"/>
      <c r="B5" s="14" t="n">
        <v>1</v>
      </c>
      <c r="C5" s="15" t="s">
        <v>10</v>
      </c>
      <c r="D5" s="16" t="s">
        <v>11</v>
      </c>
      <c r="E5" s="16" t="s">
        <v>12</v>
      </c>
      <c r="F5" s="17" t="n">
        <v>2</v>
      </c>
      <c r="G5" s="17" t="n">
        <v>0</v>
      </c>
      <c r="H5" s="18" t="str">
        <f aca="false">IF(OR(ISBLANK(F5), ISBLANK(G5)),"?",IF(F5&gt;G5,D5,IF(G5&gt;F5,E5,"EMPATE")))</f>
        <v>Czechia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customFormat="false" ht="24.45" hidden="false" customHeight="false" outlineLevel="0" collapsed="false">
      <c r="A6" s="10"/>
      <c r="B6" s="14" t="n">
        <f aca="false">+B5+1</f>
        <v>2</v>
      </c>
      <c r="C6" s="15" t="s">
        <v>10</v>
      </c>
      <c r="D6" s="16" t="s">
        <v>13</v>
      </c>
      <c r="E6" s="16" t="s">
        <v>12</v>
      </c>
      <c r="F6" s="17" t="n">
        <v>2</v>
      </c>
      <c r="G6" s="17" t="n">
        <v>1</v>
      </c>
      <c r="H6" s="18" t="str">
        <f aca="false">IF(OR(ISBLANK(F6), ISBLANK(G6)),"?",IF(F6&gt;G6,D6,IF(G6&gt;F6,E6,"EMPATE")))</f>
        <v>Mexico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customFormat="false" ht="24.45" hidden="false" customHeight="false" outlineLevel="0" collapsed="false">
      <c r="A7" s="10"/>
      <c r="B7" s="14" t="n">
        <f aca="false">+B6+1</f>
        <v>3</v>
      </c>
      <c r="C7" s="15" t="s">
        <v>10</v>
      </c>
      <c r="D7" s="16" t="s">
        <v>14</v>
      </c>
      <c r="E7" s="16" t="s">
        <v>11</v>
      </c>
      <c r="F7" s="17" t="n">
        <v>1</v>
      </c>
      <c r="G7" s="17" t="n">
        <v>1</v>
      </c>
      <c r="H7" s="18" t="str">
        <f aca="false">IF(OR(ISBLANK(F7), ISBLANK(G7)),"?",IF(F7&gt;G7,D7,IF(G7&gt;F7,E7,"EMPATE")))</f>
        <v>EMPATE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customFormat="false" ht="24.45" hidden="false" customHeight="false" outlineLevel="0" collapsed="false">
      <c r="A8" s="10"/>
      <c r="B8" s="14" t="n">
        <f aca="false">+B7+1</f>
        <v>4</v>
      </c>
      <c r="C8" s="15" t="s">
        <v>10</v>
      </c>
      <c r="D8" s="16" t="s">
        <v>13</v>
      </c>
      <c r="E8" s="16" t="s">
        <v>14</v>
      </c>
      <c r="F8" s="17" t="n">
        <v>0</v>
      </c>
      <c r="G8" s="17" t="n">
        <v>1</v>
      </c>
      <c r="H8" s="18" t="str">
        <f aca="false">IF(OR(ISBLANK(F8), ISBLANK(G8)),"?",IF(F8&gt;G8,D8,IF(G8&gt;F8,E8,"EMPATE")))</f>
        <v>South Korea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customFormat="false" ht="24.45" hidden="false" customHeight="false" outlineLevel="0" collapsed="false">
      <c r="A9" s="10"/>
      <c r="B9" s="14" t="n">
        <f aca="false">+B8+1</f>
        <v>5</v>
      </c>
      <c r="C9" s="15" t="s">
        <v>10</v>
      </c>
      <c r="D9" s="16" t="s">
        <v>11</v>
      </c>
      <c r="E9" s="16" t="s">
        <v>13</v>
      </c>
      <c r="F9" s="17" t="n">
        <v>2</v>
      </c>
      <c r="G9" s="17" t="n">
        <v>0</v>
      </c>
      <c r="H9" s="18" t="str">
        <f aca="false">IF(OR(ISBLANK(F9), ISBLANK(G9)),"?",IF(F9&gt;G9,D9,IF(G9&gt;F9,E9,"EMPATE")))</f>
        <v>Czechia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customFormat="false" ht="24.45" hidden="false" customHeight="false" outlineLevel="0" collapsed="false">
      <c r="A10" s="10"/>
      <c r="B10" s="14" t="n">
        <f aca="false">+B9+1</f>
        <v>6</v>
      </c>
      <c r="C10" s="15" t="s">
        <v>10</v>
      </c>
      <c r="D10" s="16" t="s">
        <v>12</v>
      </c>
      <c r="E10" s="16" t="s">
        <v>14</v>
      </c>
      <c r="F10" s="17" t="n">
        <v>1</v>
      </c>
      <c r="G10" s="17" t="n">
        <v>1</v>
      </c>
      <c r="H10" s="18" t="str">
        <f aca="false">IF(OR(ISBLANK(F10), ISBLANK(G10)),"?",IF(F10&gt;G10,D10,IF(G10&gt;F10,E10,"EMPATE")))</f>
        <v>EMPATE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customFormat="false" ht="24.45" hidden="false" customHeight="false" outlineLevel="0" collapsed="false">
      <c r="A11" s="10"/>
      <c r="B11" s="14" t="n">
        <f aca="false">+B10+1</f>
        <v>7</v>
      </c>
      <c r="C11" s="19" t="s">
        <v>15</v>
      </c>
      <c r="D11" s="20" t="s">
        <v>16</v>
      </c>
      <c r="E11" s="20" t="s">
        <v>17</v>
      </c>
      <c r="F11" s="17" t="n">
        <v>0</v>
      </c>
      <c r="G11" s="17" t="n">
        <v>0</v>
      </c>
      <c r="H11" s="18" t="str">
        <f aca="false">IF(OR(ISBLANK(F11), ISBLANK(G11)),"?",IF(F11&gt;G11,D11,IF(G11&gt;F11,E11,"EMPATE")))</f>
        <v>EMPATE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customFormat="false" ht="24.45" hidden="false" customHeight="false" outlineLevel="0" collapsed="false">
      <c r="A12" s="10"/>
      <c r="B12" s="14" t="n">
        <f aca="false">+B11+1</f>
        <v>8</v>
      </c>
      <c r="C12" s="19" t="s">
        <v>15</v>
      </c>
      <c r="D12" s="20" t="s">
        <v>18</v>
      </c>
      <c r="E12" s="20" t="s">
        <v>19</v>
      </c>
      <c r="F12" s="17" t="n">
        <v>0</v>
      </c>
      <c r="G12" s="17" t="n">
        <v>2</v>
      </c>
      <c r="H12" s="18" t="str">
        <f aca="false">IF(OR(ISBLANK(F12), ISBLANK(G12)),"?",IF(F12&gt;G12,D12,IF(G12&gt;F12,E12,"EMPATE")))</f>
        <v>Switzerland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customFormat="false" ht="24.45" hidden="false" customHeight="false" outlineLevel="0" collapsed="false">
      <c r="A13" s="10"/>
      <c r="B13" s="14" t="n">
        <f aca="false">+B12+1</f>
        <v>9</v>
      </c>
      <c r="C13" s="19" t="s">
        <v>15</v>
      </c>
      <c r="D13" s="20" t="s">
        <v>19</v>
      </c>
      <c r="E13" s="20" t="s">
        <v>17</v>
      </c>
      <c r="F13" s="17" t="n">
        <v>1</v>
      </c>
      <c r="G13" s="17" t="n">
        <v>1</v>
      </c>
      <c r="H13" s="18" t="str">
        <f aca="false">IF(OR(ISBLANK(F13), ISBLANK(G13)),"?",IF(F13&gt;G13,D13,IF(G13&gt;F13,E13,"EMPATE")))</f>
        <v>EMPATE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customFormat="false" ht="24.45" hidden="false" customHeight="false" outlineLevel="0" collapsed="false">
      <c r="A14" s="10"/>
      <c r="B14" s="14" t="n">
        <f aca="false">+B13+1</f>
        <v>10</v>
      </c>
      <c r="C14" s="19" t="s">
        <v>15</v>
      </c>
      <c r="D14" s="20" t="s">
        <v>16</v>
      </c>
      <c r="E14" s="20" t="s">
        <v>18</v>
      </c>
      <c r="F14" s="17" t="n">
        <v>2</v>
      </c>
      <c r="G14" s="17" t="n">
        <v>0</v>
      </c>
      <c r="H14" s="18" t="str">
        <f aca="false">IF(OR(ISBLANK(F14), ISBLANK(G14)),"?",IF(F14&gt;G14,D14,IF(G14&gt;F14,E14,"EMPATE")))</f>
        <v>Canada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customFormat="false" ht="24.45" hidden="false" customHeight="false" outlineLevel="0" collapsed="false">
      <c r="A15" s="10"/>
      <c r="B15" s="14" t="n">
        <f aca="false">+B14+1</f>
        <v>11</v>
      </c>
      <c r="C15" s="19" t="s">
        <v>15</v>
      </c>
      <c r="D15" s="20" t="s">
        <v>19</v>
      </c>
      <c r="E15" s="20" t="s">
        <v>16</v>
      </c>
      <c r="F15" s="17" t="n">
        <v>1</v>
      </c>
      <c r="G15" s="17" t="n">
        <v>1</v>
      </c>
      <c r="H15" s="18" t="str">
        <f aca="false">IF(OR(ISBLANK(F15), ISBLANK(G15)),"?",IF(F15&gt;G15,D15,IF(G15&gt;F15,E15,"EMPATE")))</f>
        <v>EMPATE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customFormat="false" ht="24.45" hidden="false" customHeight="false" outlineLevel="0" collapsed="false">
      <c r="A16" s="10"/>
      <c r="B16" s="14" t="n">
        <f aca="false">+B15+1</f>
        <v>12</v>
      </c>
      <c r="C16" s="19" t="s">
        <v>15</v>
      </c>
      <c r="D16" s="20" t="s">
        <v>17</v>
      </c>
      <c r="E16" s="20" t="s">
        <v>18</v>
      </c>
      <c r="F16" s="17" t="n">
        <v>2</v>
      </c>
      <c r="G16" s="17" t="n">
        <v>0</v>
      </c>
      <c r="H16" s="18" t="str">
        <f aca="false">IF(OR(ISBLANK(F16), ISBLANK(G16)),"?",IF(F16&gt;G16,D16,IF(G16&gt;F16,E16,"EMPATE")))</f>
        <v>Bosnia and Herzegovina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customFormat="false" ht="24.45" hidden="false" customHeight="false" outlineLevel="0" collapsed="false">
      <c r="A17" s="10"/>
      <c r="B17" s="14" t="n">
        <f aca="false">+B16+1</f>
        <v>13</v>
      </c>
      <c r="C17" s="21" t="s">
        <v>20</v>
      </c>
      <c r="D17" s="22" t="s">
        <v>21</v>
      </c>
      <c r="E17" s="22" t="s">
        <v>22</v>
      </c>
      <c r="F17" s="17" t="n">
        <v>1</v>
      </c>
      <c r="G17" s="17" t="n">
        <v>1</v>
      </c>
      <c r="H17" s="18" t="str">
        <f aca="false">IF(OR(ISBLANK(F17), ISBLANK(G17)),"?",IF(F17&gt;G17,D17,IF(G17&gt;F17,E17,"EMPATE")))</f>
        <v>EMPATE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customFormat="false" ht="24.45" hidden="false" customHeight="false" outlineLevel="0" collapsed="false">
      <c r="A18" s="10"/>
      <c r="B18" s="14" t="n">
        <f aca="false">+B17+1</f>
        <v>14</v>
      </c>
      <c r="C18" s="21" t="s">
        <v>20</v>
      </c>
      <c r="D18" s="22" t="s">
        <v>23</v>
      </c>
      <c r="E18" s="22" t="s">
        <v>24</v>
      </c>
      <c r="F18" s="17" t="n">
        <v>0</v>
      </c>
      <c r="G18" s="17" t="n">
        <v>1</v>
      </c>
      <c r="H18" s="18" t="str">
        <f aca="false">IF(OR(ISBLANK(F18), ISBLANK(G18)),"?",IF(F18&gt;G18,D18,IF(G18&gt;F18,E18,"EMPATE")))</f>
        <v>Scotland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customFormat="false" ht="24.45" hidden="false" customHeight="false" outlineLevel="0" collapsed="false">
      <c r="A19" s="10"/>
      <c r="B19" s="14" t="n">
        <f aca="false">+B18+1</f>
        <v>15</v>
      </c>
      <c r="C19" s="21" t="s">
        <v>20</v>
      </c>
      <c r="D19" s="22" t="s">
        <v>24</v>
      </c>
      <c r="E19" s="22" t="s">
        <v>22</v>
      </c>
      <c r="F19" s="17" t="n">
        <v>0</v>
      </c>
      <c r="G19" s="17" t="n">
        <v>0</v>
      </c>
      <c r="H19" s="18" t="str">
        <f aca="false">IF(OR(ISBLANK(F19), ISBLANK(G19)),"?",IF(F19&gt;G19,D19,IF(G19&gt;F19,E19,"EMPATE")))</f>
        <v>EMPATE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customFormat="false" ht="24.45" hidden="false" customHeight="false" outlineLevel="0" collapsed="false">
      <c r="A20" s="10"/>
      <c r="B20" s="14" t="n">
        <f aca="false">+B19+1</f>
        <v>16</v>
      </c>
      <c r="C20" s="21" t="s">
        <v>20</v>
      </c>
      <c r="D20" s="22" t="s">
        <v>21</v>
      </c>
      <c r="E20" s="22" t="s">
        <v>23</v>
      </c>
      <c r="F20" s="17" t="n">
        <v>4</v>
      </c>
      <c r="G20" s="17" t="n">
        <v>0</v>
      </c>
      <c r="H20" s="18" t="str">
        <f aca="false">IF(OR(ISBLANK(F20), ISBLANK(G20)),"?",IF(F20&gt;G20,D20,IF(G20&gt;F20,E20,"EMPATE")))</f>
        <v>Brazil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customFormat="false" ht="24.45" hidden="false" customHeight="false" outlineLevel="0" collapsed="false">
      <c r="A21" s="10"/>
      <c r="B21" s="14" t="n">
        <f aca="false">+B20+1</f>
        <v>17</v>
      </c>
      <c r="C21" s="21" t="s">
        <v>20</v>
      </c>
      <c r="D21" s="22" t="s">
        <v>24</v>
      </c>
      <c r="E21" s="22" t="s">
        <v>21</v>
      </c>
      <c r="F21" s="17" t="n">
        <v>0</v>
      </c>
      <c r="G21" s="17" t="n">
        <v>2</v>
      </c>
      <c r="H21" s="18" t="str">
        <f aca="false">IF(OR(ISBLANK(F21), ISBLANK(G21)),"?",IF(F21&gt;G21,D21,IF(G21&gt;F21,E21,"EMPATE")))</f>
        <v>Brazil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customFormat="false" ht="24.45" hidden="false" customHeight="false" outlineLevel="0" collapsed="false">
      <c r="A22" s="10"/>
      <c r="B22" s="14" t="n">
        <f aca="false">+B21+1</f>
        <v>18</v>
      </c>
      <c r="C22" s="21" t="s">
        <v>20</v>
      </c>
      <c r="D22" s="22" t="s">
        <v>22</v>
      </c>
      <c r="E22" s="22" t="s">
        <v>23</v>
      </c>
      <c r="F22" s="17" t="n">
        <v>2</v>
      </c>
      <c r="G22" s="17" t="n">
        <v>0</v>
      </c>
      <c r="H22" s="18" t="str">
        <f aca="false">IF(OR(ISBLANK(F22), ISBLANK(G22)),"?",IF(F22&gt;G22,D22,IF(G22&gt;F22,E22,"EMPATE")))</f>
        <v>Morocco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customFormat="false" ht="24.45" hidden="false" customHeight="false" outlineLevel="0" collapsed="false">
      <c r="A23" s="10"/>
      <c r="B23" s="14" t="n">
        <f aca="false">+B22+1</f>
        <v>19</v>
      </c>
      <c r="C23" s="23" t="s">
        <v>25</v>
      </c>
      <c r="D23" s="24" t="s">
        <v>26</v>
      </c>
      <c r="E23" s="24" t="s">
        <v>27</v>
      </c>
      <c r="F23" s="17" t="n">
        <v>1</v>
      </c>
      <c r="G23" s="17" t="n">
        <v>0</v>
      </c>
      <c r="H23" s="18" t="str">
        <f aca="false">IF(OR(ISBLANK(F23), ISBLANK(G23)),"?",IF(F23&gt;G23,D23,IF(G23&gt;F23,E23,"EMPATE")))</f>
        <v>USA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customFormat="false" ht="24.45" hidden="false" customHeight="false" outlineLevel="0" collapsed="false">
      <c r="A24" s="10"/>
      <c r="B24" s="14" t="n">
        <f aca="false">+B23+1</f>
        <v>20</v>
      </c>
      <c r="C24" s="23" t="s">
        <v>25</v>
      </c>
      <c r="D24" s="24" t="s">
        <v>28</v>
      </c>
      <c r="E24" s="24" t="s">
        <v>29</v>
      </c>
      <c r="F24" s="17" t="n">
        <v>0</v>
      </c>
      <c r="G24" s="17" t="n">
        <v>0</v>
      </c>
      <c r="H24" s="18" t="str">
        <f aca="false">IF(OR(ISBLANK(F24), ISBLANK(G24)),"?",IF(F24&gt;G24,D24,IF(G24&gt;F24,E24,"EMPATE")))</f>
        <v>EMPATE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customFormat="false" ht="24.45" hidden="false" customHeight="false" outlineLevel="0" collapsed="false">
      <c r="A25" s="10"/>
      <c r="B25" s="14" t="n">
        <f aca="false">+B24+1</f>
        <v>21</v>
      </c>
      <c r="C25" s="23" t="s">
        <v>25</v>
      </c>
      <c r="D25" s="24" t="s">
        <v>29</v>
      </c>
      <c r="E25" s="24" t="s">
        <v>27</v>
      </c>
      <c r="F25" s="17" t="n">
        <v>0</v>
      </c>
      <c r="G25" s="17" t="n">
        <v>1</v>
      </c>
      <c r="H25" s="18" t="str">
        <f aca="false">IF(OR(ISBLANK(F25), ISBLANK(G25)),"?",IF(F25&gt;G25,D25,IF(G25&gt;F25,E25,"EMPATE")))</f>
        <v>Paraguay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customFormat="false" ht="24.45" hidden="false" customHeight="false" outlineLevel="0" collapsed="false">
      <c r="A26" s="10"/>
      <c r="B26" s="14" t="n">
        <f aca="false">+B25+1</f>
        <v>22</v>
      </c>
      <c r="C26" s="23" t="s">
        <v>25</v>
      </c>
      <c r="D26" s="24" t="s">
        <v>26</v>
      </c>
      <c r="E26" s="24" t="s">
        <v>28</v>
      </c>
      <c r="F26" s="17" t="n">
        <v>1</v>
      </c>
      <c r="G26" s="17" t="n">
        <v>1</v>
      </c>
      <c r="H26" s="18" t="str">
        <f aca="false">IF(OR(ISBLANK(F26), ISBLANK(G26)),"?",IF(F26&gt;G26,D26,IF(G26&gt;F26,E26,"EMPATE")))</f>
        <v>EMPATE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customFormat="false" ht="24.45" hidden="false" customHeight="false" outlineLevel="0" collapsed="false">
      <c r="A27" s="10"/>
      <c r="B27" s="14" t="n">
        <f aca="false">+B26+1</f>
        <v>23</v>
      </c>
      <c r="C27" s="23" t="s">
        <v>25</v>
      </c>
      <c r="D27" s="24" t="s">
        <v>29</v>
      </c>
      <c r="E27" s="24" t="s">
        <v>26</v>
      </c>
      <c r="F27" s="17" t="n">
        <v>0</v>
      </c>
      <c r="G27" s="17" t="n">
        <v>2</v>
      </c>
      <c r="H27" s="18" t="str">
        <f aca="false">IF(OR(ISBLANK(F27), ISBLANK(G27)),"?",IF(F27&gt;G27,D27,IF(G27&gt;F27,E27,"EMPATE")))</f>
        <v>USA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customFormat="false" ht="24.45" hidden="false" customHeight="false" outlineLevel="0" collapsed="false">
      <c r="A28" s="10"/>
      <c r="B28" s="14" t="n">
        <f aca="false">+B27+1</f>
        <v>24</v>
      </c>
      <c r="C28" s="23" t="s">
        <v>25</v>
      </c>
      <c r="D28" s="24" t="s">
        <v>27</v>
      </c>
      <c r="E28" s="24" t="s">
        <v>28</v>
      </c>
      <c r="F28" s="17" t="n">
        <v>1</v>
      </c>
      <c r="G28" s="17" t="n">
        <v>1</v>
      </c>
      <c r="H28" s="18" t="str">
        <f aca="false">IF(OR(ISBLANK(F28), ISBLANK(G28)),"?",IF(F28&gt;G28,D28,IF(G28&gt;F28,E28,"EMPATE")))</f>
        <v>EMPATE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customFormat="false" ht="24.45" hidden="false" customHeight="false" outlineLevel="0" collapsed="false">
      <c r="A29" s="10"/>
      <c r="B29" s="14" t="n">
        <f aca="false">+B28+1</f>
        <v>25</v>
      </c>
      <c r="C29" s="25" t="s">
        <v>30</v>
      </c>
      <c r="D29" s="26" t="s">
        <v>31</v>
      </c>
      <c r="E29" s="26" t="s">
        <v>32</v>
      </c>
      <c r="F29" s="17" t="n">
        <v>4</v>
      </c>
      <c r="G29" s="17" t="n">
        <v>0</v>
      </c>
      <c r="H29" s="18" t="str">
        <f aca="false">IF(OR(ISBLANK(F29), ISBLANK(G29)),"?",IF(F29&gt;G29,D29,IF(G29&gt;F29,E29,"EMPATE")))</f>
        <v>Germany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customFormat="false" ht="24.45" hidden="false" customHeight="false" outlineLevel="0" collapsed="false">
      <c r="A30" s="10"/>
      <c r="B30" s="14" t="n">
        <f aca="false">+B29+1</f>
        <v>26</v>
      </c>
      <c r="C30" s="25" t="s">
        <v>30</v>
      </c>
      <c r="D30" s="26" t="s">
        <v>33</v>
      </c>
      <c r="E30" s="26" t="s">
        <v>34</v>
      </c>
      <c r="F30" s="17" t="n">
        <v>1</v>
      </c>
      <c r="G30" s="17" t="n">
        <v>2</v>
      </c>
      <c r="H30" s="18" t="str">
        <f aca="false">IF(OR(ISBLANK(F30), ISBLANK(G30)),"?",IF(F30&gt;G30,D30,IF(G30&gt;F30,E30,"EMPATE")))</f>
        <v>Ecuador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customFormat="false" ht="24.45" hidden="false" customHeight="false" outlineLevel="0" collapsed="false">
      <c r="A31" s="10"/>
      <c r="B31" s="14" t="n">
        <f aca="false">+B30+1</f>
        <v>27</v>
      </c>
      <c r="C31" s="25" t="s">
        <v>30</v>
      </c>
      <c r="D31" s="26" t="s">
        <v>31</v>
      </c>
      <c r="E31" s="26" t="s">
        <v>33</v>
      </c>
      <c r="F31" s="17" t="n">
        <v>2</v>
      </c>
      <c r="G31" s="17" t="n">
        <v>1</v>
      </c>
      <c r="H31" s="18" t="str">
        <f aca="false">IF(OR(ISBLANK(F31), ISBLANK(G31)),"?",IF(F31&gt;G31,D31,IF(G31&gt;F31,E31,"EMPATE")))</f>
        <v>Germany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customFormat="false" ht="24.45" hidden="false" customHeight="false" outlineLevel="0" collapsed="false">
      <c r="A32" s="10"/>
      <c r="B32" s="14" t="n">
        <f aca="false">+B31+1</f>
        <v>28</v>
      </c>
      <c r="C32" s="25" t="s">
        <v>30</v>
      </c>
      <c r="D32" s="26" t="s">
        <v>34</v>
      </c>
      <c r="E32" s="26" t="s">
        <v>32</v>
      </c>
      <c r="F32" s="17" t="n">
        <v>2</v>
      </c>
      <c r="G32" s="17" t="n">
        <v>0</v>
      </c>
      <c r="H32" s="18" t="str">
        <f aca="false">IF(OR(ISBLANK(F32), ISBLANK(G32)),"?",IF(F32&gt;G32,D32,IF(G32&gt;F32,E32,"EMPATE")))</f>
        <v>Ecuador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customFormat="false" ht="24.45" hidden="false" customHeight="false" outlineLevel="0" collapsed="false">
      <c r="A33" s="10"/>
      <c r="B33" s="14" t="n">
        <f aca="false">+B32+1</f>
        <v>29</v>
      </c>
      <c r="C33" s="25" t="s">
        <v>30</v>
      </c>
      <c r="D33" s="26" t="s">
        <v>34</v>
      </c>
      <c r="E33" s="26" t="s">
        <v>31</v>
      </c>
      <c r="F33" s="17" t="n">
        <v>1</v>
      </c>
      <c r="G33" s="17" t="n">
        <v>2</v>
      </c>
      <c r="H33" s="18" t="str">
        <f aca="false">IF(OR(ISBLANK(F33), ISBLANK(G33)),"?",IF(F33&gt;G33,D33,IF(G33&gt;F33,E33,"EMPATE")))</f>
        <v>Germany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customFormat="false" ht="24.45" hidden="false" customHeight="false" outlineLevel="0" collapsed="false">
      <c r="A34" s="10"/>
      <c r="B34" s="14" t="n">
        <f aca="false">+B33+1</f>
        <v>30</v>
      </c>
      <c r="C34" s="25" t="s">
        <v>30</v>
      </c>
      <c r="D34" s="26" t="s">
        <v>32</v>
      </c>
      <c r="E34" s="26" t="s">
        <v>33</v>
      </c>
      <c r="F34" s="17" t="n">
        <v>1</v>
      </c>
      <c r="G34" s="17" t="n">
        <v>1</v>
      </c>
      <c r="H34" s="18" t="str">
        <f aca="false">IF(OR(ISBLANK(F34), ISBLANK(G34)),"?",IF(F34&gt;G34,D34,IF(G34&gt;F34,E34,"EMPATE")))</f>
        <v>EMPATE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customFormat="false" ht="24.45" hidden="false" customHeight="false" outlineLevel="0" collapsed="false">
      <c r="A35" s="10"/>
      <c r="B35" s="14" t="n">
        <f aca="false">+B34+1</f>
        <v>31</v>
      </c>
      <c r="C35" s="27" t="s">
        <v>35</v>
      </c>
      <c r="D35" s="28" t="s">
        <v>36</v>
      </c>
      <c r="E35" s="28" t="s">
        <v>37</v>
      </c>
      <c r="F35" s="17" t="n">
        <v>1</v>
      </c>
      <c r="G35" s="17" t="n">
        <v>1</v>
      </c>
      <c r="H35" s="18" t="str">
        <f aca="false">IF(OR(ISBLANK(F35), ISBLANK(G35)),"?",IF(F35&gt;G35,D35,IF(G35&gt;F35,E35,"EMPATE")))</f>
        <v>EMPATE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customFormat="false" ht="24.45" hidden="false" customHeight="false" outlineLevel="0" collapsed="false">
      <c r="A36" s="10"/>
      <c r="B36" s="14" t="n">
        <f aca="false">+B35+1</f>
        <v>32</v>
      </c>
      <c r="C36" s="27" t="s">
        <v>35</v>
      </c>
      <c r="D36" s="28" t="s">
        <v>38</v>
      </c>
      <c r="E36" s="28" t="s">
        <v>39</v>
      </c>
      <c r="F36" s="17" t="n">
        <v>2</v>
      </c>
      <c r="G36" s="17" t="n">
        <v>2</v>
      </c>
      <c r="H36" s="18" t="str">
        <f aca="false">IF(OR(ISBLANK(F36), ISBLANK(G36)),"?",IF(F36&gt;G36,D36,IF(G36&gt;F36,E36,"EMPATE")))</f>
        <v>EMPATE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customFormat="false" ht="24.45" hidden="false" customHeight="false" outlineLevel="0" collapsed="false">
      <c r="A37" s="10"/>
      <c r="B37" s="14" t="n">
        <f aca="false">+B36+1</f>
        <v>33</v>
      </c>
      <c r="C37" s="27" t="s">
        <v>35</v>
      </c>
      <c r="D37" s="28" t="s">
        <v>39</v>
      </c>
      <c r="E37" s="28" t="s">
        <v>37</v>
      </c>
      <c r="F37" s="17" t="n">
        <v>0</v>
      </c>
      <c r="G37" s="17" t="n">
        <v>1</v>
      </c>
      <c r="H37" s="18" t="str">
        <f aca="false">IF(OR(ISBLANK(F37), ISBLANK(G37)),"?",IF(F37&gt;G37,D37,IF(G37&gt;F37,E37,"EMPATE")))</f>
        <v>Japan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customFormat="false" ht="24.45" hidden="false" customHeight="false" outlineLevel="0" collapsed="false">
      <c r="A38" s="10"/>
      <c r="B38" s="14" t="n">
        <f aca="false">+B37+1</f>
        <v>34</v>
      </c>
      <c r="C38" s="27" t="s">
        <v>35</v>
      </c>
      <c r="D38" s="28" t="s">
        <v>36</v>
      </c>
      <c r="E38" s="28" t="s">
        <v>38</v>
      </c>
      <c r="F38" s="17" t="n">
        <v>0</v>
      </c>
      <c r="G38" s="17" t="n">
        <v>0</v>
      </c>
      <c r="H38" s="18" t="str">
        <f aca="false">IF(OR(ISBLANK(F38), ISBLANK(G38)),"?",IF(F38&gt;G38,D38,IF(G38&gt;F38,E38,"EMPATE")))</f>
        <v>EMPATE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customFormat="false" ht="24.45" hidden="false" customHeight="false" outlineLevel="0" collapsed="false">
      <c r="A39" s="10"/>
      <c r="B39" s="14" t="n">
        <f aca="false">+B38+1</f>
        <v>35</v>
      </c>
      <c r="C39" s="27" t="s">
        <v>35</v>
      </c>
      <c r="D39" s="28" t="s">
        <v>37</v>
      </c>
      <c r="E39" s="28" t="s">
        <v>38</v>
      </c>
      <c r="F39" s="17" t="n">
        <v>1</v>
      </c>
      <c r="G39" s="17" t="n">
        <v>0</v>
      </c>
      <c r="H39" s="18" t="str">
        <f aca="false">IF(OR(ISBLANK(F39), ISBLANK(G39)),"?",IF(F39&gt;G39,D39,IF(G39&gt;F39,E39,"EMPATE")))</f>
        <v>Japan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customFormat="false" ht="24.45" hidden="false" customHeight="false" outlineLevel="0" collapsed="false">
      <c r="A40" s="10"/>
      <c r="B40" s="14" t="n">
        <f aca="false">+B39+1</f>
        <v>36</v>
      </c>
      <c r="C40" s="27" t="s">
        <v>35</v>
      </c>
      <c r="D40" s="28" t="s">
        <v>39</v>
      </c>
      <c r="E40" s="28" t="s">
        <v>36</v>
      </c>
      <c r="F40" s="17" t="n">
        <v>1</v>
      </c>
      <c r="G40" s="17" t="n">
        <v>2</v>
      </c>
      <c r="H40" s="18" t="str">
        <f aca="false">IF(OR(ISBLANK(F40), ISBLANK(G40)),"?",IF(F40&gt;G40,D40,IF(G40&gt;F40,E40,"EMPATE")))</f>
        <v>Netherlands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customFormat="false" ht="24.45" hidden="false" customHeight="false" outlineLevel="0" collapsed="false">
      <c r="A41" s="10"/>
      <c r="B41" s="14" t="n">
        <f aca="false">+B40+1</f>
        <v>37</v>
      </c>
      <c r="C41" s="29" t="s">
        <v>40</v>
      </c>
      <c r="D41" s="30" t="s">
        <v>41</v>
      </c>
      <c r="E41" s="30" t="s">
        <v>42</v>
      </c>
      <c r="F41" s="17" t="n">
        <v>2</v>
      </c>
      <c r="G41" s="17" t="n">
        <v>0</v>
      </c>
      <c r="H41" s="18" t="str">
        <f aca="false">IF(OR(ISBLANK(F41), ISBLANK(G41)),"?",IF(F41&gt;G41,D41,IF(G41&gt;F41,E41,"EMPATE")))</f>
        <v>Belgium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customFormat="false" ht="24.45" hidden="false" customHeight="false" outlineLevel="0" collapsed="false">
      <c r="A42" s="10"/>
      <c r="B42" s="14" t="n">
        <f aca="false">+B41+1</f>
        <v>38</v>
      </c>
      <c r="C42" s="29" t="s">
        <v>40</v>
      </c>
      <c r="D42" s="30" t="s">
        <v>43</v>
      </c>
      <c r="E42" s="30" t="s">
        <v>44</v>
      </c>
      <c r="F42" s="17" t="n">
        <v>1</v>
      </c>
      <c r="G42" s="17" t="n">
        <v>0</v>
      </c>
      <c r="H42" s="18" t="str">
        <f aca="false">IF(OR(ISBLANK(F42), ISBLANK(G42)),"?",IF(F42&gt;G42,D42,IF(G42&gt;F42,E42,"EMPATE")))</f>
        <v>Iran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customFormat="false" ht="24.45" hidden="false" customHeight="false" outlineLevel="0" collapsed="false">
      <c r="A43" s="10"/>
      <c r="B43" s="14" t="n">
        <f aca="false">+B42+1</f>
        <v>39</v>
      </c>
      <c r="C43" s="29" t="s">
        <v>40</v>
      </c>
      <c r="D43" s="30" t="s">
        <v>41</v>
      </c>
      <c r="E43" s="30" t="s">
        <v>43</v>
      </c>
      <c r="F43" s="17" t="n">
        <v>1</v>
      </c>
      <c r="G43" s="17" t="n">
        <v>1</v>
      </c>
      <c r="H43" s="18" t="str">
        <f aca="false">IF(OR(ISBLANK(F43), ISBLANK(G43)),"?",IF(F43&gt;G43,D43,IF(G43&gt;F43,E43,"EMPATE")))</f>
        <v>EMPATE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customFormat="false" ht="24.45" hidden="false" customHeight="false" outlineLevel="0" collapsed="false">
      <c r="A44" s="10"/>
      <c r="B44" s="14" t="n">
        <f aca="false">+B43+1</f>
        <v>40</v>
      </c>
      <c r="C44" s="29" t="s">
        <v>40</v>
      </c>
      <c r="D44" s="30" t="s">
        <v>44</v>
      </c>
      <c r="E44" s="30" t="s">
        <v>42</v>
      </c>
      <c r="F44" s="17" t="n">
        <v>2</v>
      </c>
      <c r="G44" s="17" t="n">
        <v>1</v>
      </c>
      <c r="H44" s="18" t="str">
        <f aca="false">IF(OR(ISBLANK(F44), ISBLANK(G44)),"?",IF(F44&gt;G44,D44,IF(G44&gt;F44,E44,"EMPATE")))</f>
        <v>New Zealand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customFormat="false" ht="24.45" hidden="false" customHeight="false" outlineLevel="0" collapsed="false">
      <c r="A45" s="10"/>
      <c r="B45" s="14" t="n">
        <f aca="false">+B44+1</f>
        <v>41</v>
      </c>
      <c r="C45" s="29" t="s">
        <v>40</v>
      </c>
      <c r="D45" s="30" t="s">
        <v>42</v>
      </c>
      <c r="E45" s="30" t="s">
        <v>43</v>
      </c>
      <c r="F45" s="17" t="n">
        <v>0</v>
      </c>
      <c r="G45" s="17" t="n">
        <v>1</v>
      </c>
      <c r="H45" s="18" t="str">
        <f aca="false">IF(OR(ISBLANK(F45), ISBLANK(G45)),"?",IF(F45&gt;G45,D45,IF(G45&gt;F45,E45,"EMPATE")))</f>
        <v>Iran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customFormat="false" ht="24.45" hidden="false" customHeight="false" outlineLevel="0" collapsed="false">
      <c r="A46" s="10"/>
      <c r="B46" s="14" t="n">
        <f aca="false">+B45+1</f>
        <v>42</v>
      </c>
      <c r="C46" s="29" t="s">
        <v>40</v>
      </c>
      <c r="D46" s="30" t="s">
        <v>44</v>
      </c>
      <c r="E46" s="30" t="s">
        <v>41</v>
      </c>
      <c r="F46" s="17" t="n">
        <v>0</v>
      </c>
      <c r="G46" s="17" t="n">
        <v>2</v>
      </c>
      <c r="H46" s="18" t="str">
        <f aca="false">IF(OR(ISBLANK(F46), ISBLANK(G46)),"?",IF(F46&gt;G46,D46,IF(G46&gt;F46,E46,"EMPATE")))</f>
        <v>Belgium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customFormat="false" ht="24.45" hidden="false" customHeight="false" outlineLevel="0" collapsed="false">
      <c r="A47" s="10"/>
      <c r="B47" s="14" t="n">
        <f aca="false">+B46+1</f>
        <v>43</v>
      </c>
      <c r="C47" s="31" t="s">
        <v>45</v>
      </c>
      <c r="D47" s="32" t="s">
        <v>46</v>
      </c>
      <c r="E47" s="32" t="s">
        <v>47</v>
      </c>
      <c r="F47" s="17" t="n">
        <v>3</v>
      </c>
      <c r="G47" s="17" t="n">
        <v>0</v>
      </c>
      <c r="H47" s="18" t="str">
        <f aca="false">IF(OR(ISBLANK(F47), ISBLANK(G47)),"?",IF(F47&gt;G47,D47,IF(G47&gt;F47,E47,"EMPATE")))</f>
        <v>Spain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customFormat="false" ht="24.45" hidden="false" customHeight="false" outlineLevel="0" collapsed="false">
      <c r="A48" s="10"/>
      <c r="B48" s="14" t="n">
        <f aca="false">+B47+1</f>
        <v>44</v>
      </c>
      <c r="C48" s="31" t="s">
        <v>45</v>
      </c>
      <c r="D48" s="32" t="s">
        <v>48</v>
      </c>
      <c r="E48" s="32" t="s">
        <v>49</v>
      </c>
      <c r="F48" s="17" t="n">
        <v>0</v>
      </c>
      <c r="G48" s="17" t="n">
        <v>2</v>
      </c>
      <c r="H48" s="18" t="str">
        <f aca="false">IF(OR(ISBLANK(F48), ISBLANK(G48)),"?",IF(F48&gt;G48,D48,IF(G48&gt;F48,E48,"EMPATE")))</f>
        <v>Uruguay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customFormat="false" ht="24.45" hidden="false" customHeight="false" outlineLevel="0" collapsed="false">
      <c r="A49" s="10"/>
      <c r="B49" s="14" t="n">
        <f aca="false">+B48+1</f>
        <v>45</v>
      </c>
      <c r="C49" s="31" t="s">
        <v>45</v>
      </c>
      <c r="D49" s="32" t="s">
        <v>46</v>
      </c>
      <c r="E49" s="32" t="s">
        <v>48</v>
      </c>
      <c r="F49" s="17" t="n">
        <v>2</v>
      </c>
      <c r="G49" s="17" t="n">
        <v>0</v>
      </c>
      <c r="H49" s="18" t="str">
        <f aca="false">IF(OR(ISBLANK(F49), ISBLANK(G49)),"?",IF(F49&gt;G49,D49,IF(G49&gt;F49,E49,"EMPATE")))</f>
        <v>Spain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customFormat="false" ht="24.45" hidden="false" customHeight="false" outlineLevel="0" collapsed="false">
      <c r="A50" s="10"/>
      <c r="B50" s="14" t="n">
        <f aca="false">+B49+1</f>
        <v>46</v>
      </c>
      <c r="C50" s="31" t="s">
        <v>45</v>
      </c>
      <c r="D50" s="32" t="s">
        <v>49</v>
      </c>
      <c r="E50" s="32" t="s">
        <v>47</v>
      </c>
      <c r="F50" s="17" t="n">
        <v>2</v>
      </c>
      <c r="G50" s="17" t="n">
        <v>0</v>
      </c>
      <c r="H50" s="18" t="str">
        <f aca="false">IF(OR(ISBLANK(F50), ISBLANK(G50)),"?",IF(F50&gt;G50,D50,IF(G50&gt;F50,E50,"EMPATE")))</f>
        <v>Uruguay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customFormat="false" ht="24.45" hidden="false" customHeight="false" outlineLevel="0" collapsed="false">
      <c r="A51" s="10"/>
      <c r="B51" s="14" t="n">
        <f aca="false">+B50+1</f>
        <v>47</v>
      </c>
      <c r="C51" s="31" t="s">
        <v>45</v>
      </c>
      <c r="D51" s="32" t="s">
        <v>49</v>
      </c>
      <c r="E51" s="32" t="s">
        <v>46</v>
      </c>
      <c r="F51" s="17" t="n">
        <v>1</v>
      </c>
      <c r="G51" s="17" t="n">
        <v>2</v>
      </c>
      <c r="H51" s="18" t="str">
        <f aca="false">IF(OR(ISBLANK(F51), ISBLANK(G51)),"?",IF(F51&gt;G51,D51,IF(G51&gt;F51,E51,"EMPATE")))</f>
        <v>Spain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customFormat="false" ht="24.45" hidden="false" customHeight="false" outlineLevel="0" collapsed="false">
      <c r="A52" s="10"/>
      <c r="B52" s="14" t="n">
        <f aca="false">+B51+1</f>
        <v>48</v>
      </c>
      <c r="C52" s="31" t="s">
        <v>45</v>
      </c>
      <c r="D52" s="32" t="s">
        <v>47</v>
      </c>
      <c r="E52" s="32" t="s">
        <v>48</v>
      </c>
      <c r="F52" s="17" t="n">
        <v>0</v>
      </c>
      <c r="G52" s="17" t="n">
        <v>0</v>
      </c>
      <c r="H52" s="18" t="str">
        <f aca="false">IF(OR(ISBLANK(F52), ISBLANK(G52)),"?",IF(F52&gt;G52,D52,IF(G52&gt;F52,E52,"EMPATE")))</f>
        <v>EMPATE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customFormat="false" ht="24.45" hidden="false" customHeight="false" outlineLevel="0" collapsed="false">
      <c r="A53" s="10"/>
      <c r="B53" s="14" t="n">
        <f aca="false">+B52+1</f>
        <v>49</v>
      </c>
      <c r="C53" s="33" t="s">
        <v>50</v>
      </c>
      <c r="D53" s="34" t="s">
        <v>51</v>
      </c>
      <c r="E53" s="34" t="s">
        <v>52</v>
      </c>
      <c r="F53" s="17" t="n">
        <v>3</v>
      </c>
      <c r="G53" s="17" t="n">
        <v>0</v>
      </c>
      <c r="H53" s="18" t="str">
        <f aca="false">IF(OR(ISBLANK(F53), ISBLANK(G53)),"?",IF(F53&gt;G53,D53,IF(G53&gt;F53,E53,"EMPATE")))</f>
        <v>France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customFormat="false" ht="24.45" hidden="false" customHeight="false" outlineLevel="0" collapsed="false">
      <c r="A54" s="10"/>
      <c r="B54" s="14" t="n">
        <f aca="false">+B53+1</f>
        <v>50</v>
      </c>
      <c r="C54" s="33" t="s">
        <v>50</v>
      </c>
      <c r="D54" s="34" t="s">
        <v>53</v>
      </c>
      <c r="E54" s="34" t="s">
        <v>54</v>
      </c>
      <c r="F54" s="17" t="n">
        <v>0</v>
      </c>
      <c r="G54" s="17" t="n">
        <v>2</v>
      </c>
      <c r="H54" s="18" t="str">
        <f aca="false">IF(OR(ISBLANK(F54), ISBLANK(G54)),"?",IF(F54&gt;G54,D54,IF(G54&gt;F54,E54,"EMPATE")))</f>
        <v>Norway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customFormat="false" ht="24.45" hidden="false" customHeight="false" outlineLevel="0" collapsed="false">
      <c r="A55" s="10"/>
      <c r="B55" s="14" t="n">
        <f aca="false">+B54+1</f>
        <v>51</v>
      </c>
      <c r="C55" s="33" t="s">
        <v>50</v>
      </c>
      <c r="D55" s="34" t="s">
        <v>51</v>
      </c>
      <c r="E55" s="34" t="s">
        <v>53</v>
      </c>
      <c r="F55" s="17" t="n">
        <v>4</v>
      </c>
      <c r="G55" s="17" t="n">
        <v>0</v>
      </c>
      <c r="H55" s="18" t="str">
        <f aca="false">IF(OR(ISBLANK(F55), ISBLANK(G55)),"?",IF(F55&gt;G55,D55,IF(G55&gt;F55,E55,"EMPATE")))</f>
        <v>France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customFormat="false" ht="24.45" hidden="false" customHeight="false" outlineLevel="0" collapsed="false">
      <c r="A56" s="10"/>
      <c r="B56" s="14" t="n">
        <f aca="false">+B55+1</f>
        <v>52</v>
      </c>
      <c r="C56" s="33" t="s">
        <v>50</v>
      </c>
      <c r="D56" s="34" t="s">
        <v>54</v>
      </c>
      <c r="E56" s="34" t="s">
        <v>52</v>
      </c>
      <c r="F56" s="17" t="n">
        <v>2</v>
      </c>
      <c r="G56" s="17" t="n">
        <v>1</v>
      </c>
      <c r="H56" s="18" t="str">
        <f aca="false">IF(OR(ISBLANK(F56), ISBLANK(G56)),"?",IF(F56&gt;G56,D56,IF(G56&gt;F56,E56,"EMPATE")))</f>
        <v>Norway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customFormat="false" ht="24.45" hidden="false" customHeight="false" outlineLevel="0" collapsed="false">
      <c r="A57" s="10"/>
      <c r="B57" s="14" t="n">
        <f aca="false">+B56+1</f>
        <v>53</v>
      </c>
      <c r="C57" s="33" t="s">
        <v>50</v>
      </c>
      <c r="D57" s="34" t="s">
        <v>54</v>
      </c>
      <c r="E57" s="34" t="s">
        <v>51</v>
      </c>
      <c r="F57" s="17" t="n">
        <v>1</v>
      </c>
      <c r="G57" s="17" t="n">
        <v>3</v>
      </c>
      <c r="H57" s="18" t="str">
        <f aca="false">IF(OR(ISBLANK(F57), ISBLANK(G57)),"?",IF(F57&gt;G57,D57,IF(G57&gt;F57,E57,"EMPATE")))</f>
        <v>France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24.45" hidden="false" customHeight="false" outlineLevel="0" collapsed="false">
      <c r="A58" s="10"/>
      <c r="B58" s="14" t="n">
        <f aca="false">+B57+1</f>
        <v>54</v>
      </c>
      <c r="C58" s="33" t="s">
        <v>50</v>
      </c>
      <c r="D58" s="34" t="s">
        <v>52</v>
      </c>
      <c r="E58" s="34" t="s">
        <v>53</v>
      </c>
      <c r="F58" s="17" t="n">
        <v>1</v>
      </c>
      <c r="G58" s="17" t="n">
        <v>0</v>
      </c>
      <c r="H58" s="18" t="str">
        <f aca="false">IF(OR(ISBLANK(F58), ISBLANK(G58)),"?",IF(F58&gt;G58,D58,IF(G58&gt;F58,E58,"EMPATE")))</f>
        <v>Senegal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customFormat="false" ht="24.45" hidden="false" customHeight="false" outlineLevel="0" collapsed="false">
      <c r="A59" s="10"/>
      <c r="B59" s="14" t="n">
        <f aca="false">+B58+1</f>
        <v>55</v>
      </c>
      <c r="C59" s="35" t="s">
        <v>55</v>
      </c>
      <c r="D59" s="36" t="s">
        <v>56</v>
      </c>
      <c r="E59" s="36" t="s">
        <v>57</v>
      </c>
      <c r="F59" s="17" t="n">
        <v>2</v>
      </c>
      <c r="G59" s="17" t="n">
        <v>0</v>
      </c>
      <c r="H59" s="18" t="str">
        <f aca="false">IF(OR(ISBLANK(F59), ISBLANK(G59)),"?",IF(F59&gt;G59,D59,IF(G59&gt;F59,E59,"EMPATE")))</f>
        <v>Austria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customFormat="false" ht="24.45" hidden="false" customHeight="false" outlineLevel="0" collapsed="false">
      <c r="A60" s="10"/>
      <c r="B60" s="14" t="n">
        <f aca="false">+B59+1</f>
        <v>56</v>
      </c>
      <c r="C60" s="35" t="s">
        <v>55</v>
      </c>
      <c r="D60" s="36" t="s">
        <v>58</v>
      </c>
      <c r="E60" s="36" t="s">
        <v>59</v>
      </c>
      <c r="F60" s="17" t="n">
        <v>3</v>
      </c>
      <c r="G60" s="17" t="n">
        <v>0</v>
      </c>
      <c r="H60" s="18" t="str">
        <f aca="false">IF(OR(ISBLANK(F60), ISBLANK(G60)),"?",IF(F60&gt;G60,D60,IF(G60&gt;F60,E60,"EMPATE")))</f>
        <v>Argentina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customFormat="false" ht="24.45" hidden="false" customHeight="false" outlineLevel="0" collapsed="false">
      <c r="A61" s="10"/>
      <c r="B61" s="14" t="n">
        <f aca="false">+B60+1</f>
        <v>57</v>
      </c>
      <c r="C61" s="35" t="s">
        <v>55</v>
      </c>
      <c r="D61" s="36" t="s">
        <v>58</v>
      </c>
      <c r="E61" s="36" t="s">
        <v>56</v>
      </c>
      <c r="F61" s="17" t="n">
        <v>1</v>
      </c>
      <c r="G61" s="17" t="n">
        <v>1</v>
      </c>
      <c r="H61" s="18" t="str">
        <f aca="false">IF(OR(ISBLANK(F61), ISBLANK(G61)),"?",IF(F61&gt;G61,D61,IF(G61&gt;F61,E61,"EMPATE")))</f>
        <v>EMPATE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customFormat="false" ht="24.45" hidden="false" customHeight="false" outlineLevel="0" collapsed="false">
      <c r="A62" s="10"/>
      <c r="B62" s="14" t="n">
        <f aca="false">+B61+1</f>
        <v>58</v>
      </c>
      <c r="C62" s="35" t="s">
        <v>55</v>
      </c>
      <c r="D62" s="36" t="s">
        <v>57</v>
      </c>
      <c r="E62" s="36" t="s">
        <v>59</v>
      </c>
      <c r="F62" s="17" t="n">
        <v>0</v>
      </c>
      <c r="G62" s="17" t="n">
        <v>0</v>
      </c>
      <c r="H62" s="18" t="str">
        <f aca="false">IF(OR(ISBLANK(F62), ISBLANK(G62)),"?",IF(F62&gt;G62,D62,IF(G62&gt;F62,E62,"EMPATE")))</f>
        <v>EMPATE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customFormat="false" ht="24.45" hidden="false" customHeight="false" outlineLevel="0" collapsed="false">
      <c r="A63" s="10"/>
      <c r="B63" s="14" t="n">
        <f aca="false">+B62+1</f>
        <v>59</v>
      </c>
      <c r="C63" s="35" t="s">
        <v>55</v>
      </c>
      <c r="D63" s="36" t="s">
        <v>59</v>
      </c>
      <c r="E63" s="36" t="s">
        <v>56</v>
      </c>
      <c r="F63" s="17" t="n">
        <v>0</v>
      </c>
      <c r="G63" s="17" t="n">
        <v>1</v>
      </c>
      <c r="H63" s="18" t="str">
        <f aca="false">IF(OR(ISBLANK(F63), ISBLANK(G63)),"?",IF(F63&gt;G63,D63,IF(G63&gt;F63,E63,"EMPATE")))</f>
        <v>Austria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customFormat="false" ht="24.45" hidden="false" customHeight="false" outlineLevel="0" collapsed="false">
      <c r="A64" s="10"/>
      <c r="B64" s="14" t="n">
        <f aca="false">+B63+1</f>
        <v>60</v>
      </c>
      <c r="C64" s="35" t="s">
        <v>55</v>
      </c>
      <c r="D64" s="36" t="s">
        <v>57</v>
      </c>
      <c r="E64" s="36" t="s">
        <v>58</v>
      </c>
      <c r="F64" s="17" t="n">
        <v>0</v>
      </c>
      <c r="G64" s="17" t="n">
        <v>3</v>
      </c>
      <c r="H64" s="18" t="str">
        <f aca="false">IF(OR(ISBLANK(F64), ISBLANK(G64)),"?",IF(F64&gt;G64,D64,IF(G64&gt;F64,E64,"EMPATE")))</f>
        <v>Argentina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customFormat="false" ht="24.45" hidden="false" customHeight="false" outlineLevel="0" collapsed="false">
      <c r="A65" s="10"/>
      <c r="B65" s="14" t="n">
        <f aca="false">+B64+1</f>
        <v>61</v>
      </c>
      <c r="C65" s="37" t="s">
        <v>60</v>
      </c>
      <c r="D65" s="38" t="s">
        <v>61</v>
      </c>
      <c r="E65" s="38" t="s">
        <v>62</v>
      </c>
      <c r="F65" s="17" t="n">
        <v>3</v>
      </c>
      <c r="G65" s="17" t="n">
        <v>1</v>
      </c>
      <c r="H65" s="18" t="str">
        <f aca="false">IF(OR(ISBLANK(F65), ISBLANK(G65)),"?",IF(F65&gt;G65,D65,IF(G65&gt;F65,E65,"EMPATE")))</f>
        <v>Portugal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customFormat="false" ht="24.45" hidden="false" customHeight="false" outlineLevel="0" collapsed="false">
      <c r="A66" s="10"/>
      <c r="B66" s="14" t="n">
        <f aca="false">+B65+1</f>
        <v>62</v>
      </c>
      <c r="C66" s="37" t="s">
        <v>60</v>
      </c>
      <c r="D66" s="38" t="s">
        <v>63</v>
      </c>
      <c r="E66" s="38" t="s">
        <v>64</v>
      </c>
      <c r="F66" s="17" t="n">
        <v>0</v>
      </c>
      <c r="G66" s="17" t="n">
        <v>2</v>
      </c>
      <c r="H66" s="18" t="str">
        <f aca="false">IF(OR(ISBLANK(F66), ISBLANK(G66)),"?",IF(F66&gt;G66,D66,IF(G66&gt;F66,E66,"EMPATE")))</f>
        <v>Colombia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customFormat="false" ht="24.45" hidden="false" customHeight="false" outlineLevel="0" collapsed="false">
      <c r="A67" s="10"/>
      <c r="B67" s="14" t="n">
        <f aca="false">+B66+1</f>
        <v>63</v>
      </c>
      <c r="C67" s="37" t="s">
        <v>60</v>
      </c>
      <c r="D67" s="38" t="s">
        <v>61</v>
      </c>
      <c r="E67" s="38" t="s">
        <v>63</v>
      </c>
      <c r="F67" s="17" t="n">
        <v>2</v>
      </c>
      <c r="G67" s="17" t="n">
        <v>1</v>
      </c>
      <c r="H67" s="18" t="str">
        <f aca="false">IF(OR(ISBLANK(F67), ISBLANK(G67)),"?",IF(F67&gt;G67,D67,IF(G67&gt;F67,E67,"EMPATE")))</f>
        <v>Portugal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customFormat="false" ht="24.45" hidden="false" customHeight="false" outlineLevel="0" collapsed="false">
      <c r="A68" s="10"/>
      <c r="B68" s="14" t="n">
        <f aca="false">+B67+1</f>
        <v>64</v>
      </c>
      <c r="C68" s="37" t="s">
        <v>60</v>
      </c>
      <c r="D68" s="38" t="s">
        <v>64</v>
      </c>
      <c r="E68" s="38" t="s">
        <v>62</v>
      </c>
      <c r="F68" s="17" t="n">
        <v>2</v>
      </c>
      <c r="G68" s="17" t="n">
        <v>0</v>
      </c>
      <c r="H68" s="18" t="str">
        <f aca="false">IF(OR(ISBLANK(F68), ISBLANK(G68)),"?",IF(F68&gt;G68,D68,IF(G68&gt;F68,E68,"EMPATE")))</f>
        <v>Colombia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customFormat="false" ht="24.45" hidden="false" customHeight="false" outlineLevel="0" collapsed="false">
      <c r="A69" s="10"/>
      <c r="B69" s="14" t="n">
        <f aca="false">+B68+1</f>
        <v>65</v>
      </c>
      <c r="C69" s="37" t="s">
        <v>60</v>
      </c>
      <c r="D69" s="38" t="s">
        <v>64</v>
      </c>
      <c r="E69" s="38" t="s">
        <v>61</v>
      </c>
      <c r="F69" s="17" t="n">
        <v>1</v>
      </c>
      <c r="G69" s="17" t="n">
        <v>2</v>
      </c>
      <c r="H69" s="18" t="str">
        <f aca="false">IF(OR(ISBLANK(F69), ISBLANK(G69)),"?",IF(F69&gt;G69,D69,IF(G69&gt;F69,E69,"EMPATE")))</f>
        <v>Portugal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customFormat="false" ht="24.45" hidden="false" customHeight="false" outlineLevel="0" collapsed="false">
      <c r="A70" s="10"/>
      <c r="B70" s="14" t="n">
        <f aca="false">+B69+1</f>
        <v>66</v>
      </c>
      <c r="C70" s="37" t="s">
        <v>60</v>
      </c>
      <c r="D70" s="38" t="s">
        <v>62</v>
      </c>
      <c r="E70" s="38" t="s">
        <v>63</v>
      </c>
      <c r="F70" s="17" t="n">
        <v>1</v>
      </c>
      <c r="G70" s="17" t="n">
        <v>1</v>
      </c>
      <c r="H70" s="18" t="str">
        <f aca="false">IF(OR(ISBLANK(F70), ISBLANK(G70)),"?",IF(F70&gt;G70,D70,IF(G70&gt;F70,E70,"EMPATE")))</f>
        <v>EMPATE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customFormat="false" ht="24.45" hidden="false" customHeight="false" outlineLevel="0" collapsed="false">
      <c r="A71" s="10"/>
      <c r="B71" s="14" t="n">
        <f aca="false">+B70+1</f>
        <v>67</v>
      </c>
      <c r="C71" s="39" t="s">
        <v>65</v>
      </c>
      <c r="D71" s="40" t="s">
        <v>66</v>
      </c>
      <c r="E71" s="40" t="s">
        <v>67</v>
      </c>
      <c r="F71" s="17" t="n">
        <v>2</v>
      </c>
      <c r="G71" s="17" t="n">
        <v>1</v>
      </c>
      <c r="H71" s="18" t="str">
        <f aca="false">IF(OR(ISBLANK(F71), ISBLANK(G71)),"?",IF(F71&gt;G71,D71,IF(G71&gt;F71,E71,"EMPATE")))</f>
        <v>England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customFormat="false" ht="24.45" hidden="false" customHeight="false" outlineLevel="0" collapsed="false">
      <c r="A72" s="10"/>
      <c r="B72" s="14" t="n">
        <f aca="false">+B71+1</f>
        <v>68</v>
      </c>
      <c r="C72" s="39" t="s">
        <v>65</v>
      </c>
      <c r="D72" s="40" t="s">
        <v>68</v>
      </c>
      <c r="E72" s="40" t="s">
        <v>69</v>
      </c>
      <c r="F72" s="17" t="n">
        <v>3</v>
      </c>
      <c r="G72" s="17" t="n">
        <v>1</v>
      </c>
      <c r="H72" s="18" t="str">
        <f aca="false">IF(OR(ISBLANK(F72), ISBLANK(G72)),"?",IF(F72&gt;G72,D72,IF(G72&gt;F72,E72,"EMPATE")))</f>
        <v>Ghana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customFormat="false" ht="24.45" hidden="false" customHeight="false" outlineLevel="0" collapsed="false">
      <c r="A73" s="10"/>
      <c r="B73" s="14" t="n">
        <f aca="false">+B72+1</f>
        <v>69</v>
      </c>
      <c r="C73" s="39" t="s">
        <v>65</v>
      </c>
      <c r="D73" s="40" t="s">
        <v>66</v>
      </c>
      <c r="E73" s="40" t="s">
        <v>68</v>
      </c>
      <c r="F73" s="17" t="n">
        <v>2</v>
      </c>
      <c r="G73" s="17" t="n">
        <v>1</v>
      </c>
      <c r="H73" s="18" t="str">
        <f aca="false">IF(OR(ISBLANK(F73), ISBLANK(G73)),"?",IF(F73&gt;G73,D73,IF(G73&gt;F73,E73,"EMPATE")))</f>
        <v>England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customFormat="false" ht="24.45" hidden="false" customHeight="false" outlineLevel="0" collapsed="false">
      <c r="A74" s="10"/>
      <c r="B74" s="14" t="n">
        <f aca="false">+B73+1</f>
        <v>70</v>
      </c>
      <c r="C74" s="39" t="s">
        <v>65</v>
      </c>
      <c r="D74" s="40" t="s">
        <v>69</v>
      </c>
      <c r="E74" s="40" t="s">
        <v>67</v>
      </c>
      <c r="F74" s="17" t="n">
        <v>0</v>
      </c>
      <c r="G74" s="17" t="n">
        <v>2</v>
      </c>
      <c r="H74" s="18" t="str">
        <f aca="false">IF(OR(ISBLANK(F74), ISBLANK(G74)),"?",IF(F74&gt;G74,D74,IF(G74&gt;F74,E74,"EMPATE")))</f>
        <v>Croatia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customFormat="false" ht="24.45" hidden="false" customHeight="false" outlineLevel="0" collapsed="false">
      <c r="A75" s="10"/>
      <c r="B75" s="14" t="n">
        <f aca="false">+B74+1</f>
        <v>71</v>
      </c>
      <c r="C75" s="39" t="s">
        <v>65</v>
      </c>
      <c r="D75" s="40" t="s">
        <v>69</v>
      </c>
      <c r="E75" s="40" t="s">
        <v>66</v>
      </c>
      <c r="F75" s="17" t="n">
        <v>0</v>
      </c>
      <c r="G75" s="17" t="n">
        <v>3</v>
      </c>
      <c r="H75" s="18" t="str">
        <f aca="false">IF(OR(ISBLANK(F75), ISBLANK(G75)),"?",IF(F75&gt;G75,D75,IF(G75&gt;F75,E75,"EMPATE")))</f>
        <v>England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customFormat="false" ht="24.45" hidden="false" customHeight="false" outlineLevel="0" collapsed="false">
      <c r="A76" s="10"/>
      <c r="B76" s="41" t="n">
        <f aca="false">+B75+1</f>
        <v>72</v>
      </c>
      <c r="C76" s="39" t="s">
        <v>65</v>
      </c>
      <c r="D76" s="40" t="s">
        <v>67</v>
      </c>
      <c r="E76" s="40" t="s">
        <v>68</v>
      </c>
      <c r="F76" s="17" t="n">
        <v>2</v>
      </c>
      <c r="G76" s="17" t="n">
        <v>1</v>
      </c>
      <c r="H76" s="18" t="str">
        <f aca="false">IF(OR(ISBLANK(F76), ISBLANK(G76)),"?",IF(F76&gt;G76,D76,IF(G76&gt;F76,E76,"EMPATE")))</f>
        <v>Croatia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customFormat="false" ht="12.7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customFormat="false" ht="12.7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customFormat="false" ht="12.7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customFormat="false" ht="12.7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customFormat="false" ht="12.7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customFormat="false" ht="12.7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customFormat="false" ht="12.7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customFormat="false" ht="12.7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</sheetData>
  <sheetProtection sheet="true" password="dabd" objects="true" scenarios="true"/>
  <mergeCells count="1">
    <mergeCell ref="B1:K1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2">
    <dataValidation allowBlank="true" error="Score should be entered in 0:0 format" errorStyle="stop" errorTitle="Incorrect Format" operator="between" showDropDown="false" showErrorMessage="true" showInputMessage="false" sqref="I1:I3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76" type="whol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0.25"/>
    <col collapsed="false" customWidth="true" hidden="false" outlineLevel="0" max="2" min="2" style="0" width="14.09"/>
  </cols>
  <sheetData>
    <row r="1" customFormat="false" ht="24.45" hidden="false" customHeight="false" outlineLevel="0" collapsed="false">
      <c r="A1" s="42" t="s">
        <v>70</v>
      </c>
      <c r="B1" s="42" t="s">
        <v>71</v>
      </c>
    </row>
    <row r="2" customFormat="false" ht="19.7" hidden="false" customHeight="false" outlineLevel="0" collapsed="false">
      <c r="A2" s="43" t="s">
        <v>72</v>
      </c>
      <c r="B2" s="43" t="n">
        <v>6</v>
      </c>
    </row>
    <row r="3" customFormat="false" ht="19.7" hidden="false" customHeight="false" outlineLevel="0" collapsed="false">
      <c r="A3" s="43" t="s">
        <v>73</v>
      </c>
      <c r="B3" s="43" t="n">
        <v>3</v>
      </c>
    </row>
    <row r="4" customFormat="false" ht="19.7" hidden="false" customHeight="false" outlineLevel="0" collapsed="false">
      <c r="A4" s="43" t="s">
        <v>74</v>
      </c>
      <c r="B4" s="43" t="n">
        <v>3</v>
      </c>
    </row>
    <row r="5" customFormat="false" ht="19.7" hidden="false" customHeight="false" outlineLevel="0" collapsed="false">
      <c r="A5" s="44"/>
      <c r="B5" s="44"/>
    </row>
    <row r="6" customFormat="false" ht="19.7" hidden="false" customHeight="false" outlineLevel="0" collapsed="false">
      <c r="A6" s="44"/>
      <c r="B6" s="44"/>
    </row>
    <row r="7" customFormat="false" ht="19.7" hidden="false" customHeight="false" outlineLevel="0" collapsed="false">
      <c r="A7" s="44"/>
      <c r="B7" s="44"/>
    </row>
    <row r="8" customFormat="false" ht="24.45" hidden="false" customHeight="false" outlineLevel="0" collapsed="false">
      <c r="A8" s="45" t="s">
        <v>75</v>
      </c>
      <c r="B8" s="44"/>
    </row>
    <row r="9" customFormat="false" ht="19.7" hidden="false" customHeight="false" outlineLevel="0" collapsed="false">
      <c r="A9" s="44" t="s">
        <v>76</v>
      </c>
      <c r="B9" s="44"/>
    </row>
    <row r="10" customFormat="false" ht="19.7" hidden="false" customHeight="false" outlineLevel="0" collapsed="false">
      <c r="A10" s="44" t="s">
        <v>77</v>
      </c>
      <c r="B10" s="44"/>
    </row>
    <row r="11" customFormat="false" ht="19.7" hidden="false" customHeight="false" outlineLevel="0" collapsed="false">
      <c r="A11" s="44" t="s">
        <v>78</v>
      </c>
      <c r="B11" s="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6f49aa43-822a-4c20-9670-db7700bf1eb0}" enabled="0" method="" siteId="{6f49aa43-822a-4c20-9670-db7700bf1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2026-05-24T18:45:14Z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